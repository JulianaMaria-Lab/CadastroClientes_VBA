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uliana\Documents\GitHub\CadastroClientes_VBA\"/>
    </mc:Choice>
  </mc:AlternateContent>
  <xr:revisionPtr revIDLastSave="0" documentId="8_{69137D95-6550-4EAD-BCBC-A5F1A32A8A5C}" xr6:coauthVersionLast="47" xr6:coauthVersionMax="47" xr10:uidLastSave="{00000000-0000-0000-0000-000000000000}"/>
  <bookViews>
    <workbookView xWindow="-120" yWindow="-120" windowWidth="19440" windowHeight="15000" xr2:uid="{1E6B2594-5C0E-4F86-B945-554A6BB8A914}"/>
  </bookViews>
  <sheets>
    <sheet name="Planilha1" sheetId="1" r:id="rId1"/>
    <sheet name="Dados" sheetId="4" r:id="rId2"/>
    <sheet name="Gerar ID" sheetId="5" r:id="rId3"/>
    <sheet name="Dados Formulário" sheetId="2" state="hidden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/>
</calcChain>
</file>

<file path=xl/sharedStrings.xml><?xml version="1.0" encoding="utf-8"?>
<sst xmlns="http://schemas.openxmlformats.org/spreadsheetml/2006/main" count="156" uniqueCount="153">
  <si>
    <t>CADASTRO DE CLIENTES</t>
  </si>
  <si>
    <t>DADOS PESSOAIS</t>
  </si>
  <si>
    <t>INFORMAÇÕES JUDICIAIS</t>
  </si>
  <si>
    <t>ID</t>
  </si>
  <si>
    <t>NOME</t>
  </si>
  <si>
    <t>NACIONALIDADE</t>
  </si>
  <si>
    <t>CPF</t>
  </si>
  <si>
    <t>RG</t>
  </si>
  <si>
    <t>BAIRRO</t>
  </si>
  <si>
    <t>NÚMERO</t>
  </si>
  <si>
    <t>CIDADE</t>
  </si>
  <si>
    <t>ESTADO</t>
  </si>
  <si>
    <t>CEP</t>
  </si>
  <si>
    <t>COMP.</t>
  </si>
  <si>
    <t>DATA NASCIMENTO</t>
  </si>
  <si>
    <t>ESTADO CIVIL</t>
  </si>
  <si>
    <t>PROFISSÃO</t>
  </si>
  <si>
    <t>TELEFONE 1</t>
  </si>
  <si>
    <t>TELEFONE 2</t>
  </si>
  <si>
    <t>TELEFONE RECADO</t>
  </si>
  <si>
    <t>E-MAIL</t>
  </si>
  <si>
    <t>TIPO SERVIÇO</t>
  </si>
  <si>
    <t>VALOR</t>
  </si>
  <si>
    <t>FORMA PAGAMENTO</t>
  </si>
  <si>
    <t>CONDIÇÕES PARCELAMENTO</t>
  </si>
  <si>
    <t>REGISTRO CNH</t>
  </si>
  <si>
    <t>CATEGORIA</t>
  </si>
  <si>
    <t>VENCIMENTO CNH</t>
  </si>
  <si>
    <t>ESPELHO</t>
  </si>
  <si>
    <t>RENACH</t>
  </si>
  <si>
    <t>CÓD SEGURANÇA</t>
  </si>
  <si>
    <t>PLACA</t>
  </si>
  <si>
    <t>PLACA 2</t>
  </si>
  <si>
    <t>PLACA 3</t>
  </si>
  <si>
    <t>SENHA DETRAN</t>
  </si>
  <si>
    <t>SENHA GOV</t>
  </si>
  <si>
    <t>PA CASSAÇÃO 1</t>
  </si>
  <si>
    <t>PA CASSAÇÃO 2</t>
  </si>
  <si>
    <t>PA CASSAÇÃO 3</t>
  </si>
  <si>
    <t>PA SUSPENSÃO 1</t>
  </si>
  <si>
    <t>PA SUSPENSÃO 2</t>
  </si>
  <si>
    <t>PA SUSPENSÃO 3</t>
  </si>
  <si>
    <t>RAMO DIREITO 2</t>
  </si>
  <si>
    <t>PESSOA RESPONSÁVEL</t>
  </si>
  <si>
    <t>NÚMERO PROCESSO</t>
  </si>
  <si>
    <t>VARA</t>
  </si>
  <si>
    <t>DATA DISTRIBUIÇÃO</t>
  </si>
  <si>
    <t>ADVOGADO RESPONSÁVEL</t>
  </si>
  <si>
    <t>CATEGORIA CNH</t>
  </si>
  <si>
    <t>SOLTEIRO(A)</t>
  </si>
  <si>
    <t>A</t>
  </si>
  <si>
    <t>À VISTA</t>
  </si>
  <si>
    <t>CASADO(A)</t>
  </si>
  <si>
    <t>B</t>
  </si>
  <si>
    <t>PARCELADO</t>
  </si>
  <si>
    <t>DIVORCIADO(A)</t>
  </si>
  <si>
    <t>C</t>
  </si>
  <si>
    <t>VIÚVO(A)</t>
  </si>
  <si>
    <t>D</t>
  </si>
  <si>
    <t>E</t>
  </si>
  <si>
    <t>AB</t>
  </si>
  <si>
    <t>AC</t>
  </si>
  <si>
    <t>AD</t>
  </si>
  <si>
    <t>AE</t>
  </si>
  <si>
    <t>FÓRMULA - GERAR ID</t>
  </si>
  <si>
    <t>CONTROLE</t>
  </si>
  <si>
    <t>HEIGHT</t>
  </si>
  <si>
    <t>LEFT</t>
  </si>
  <si>
    <t>TOP</t>
  </si>
  <si>
    <t>WIDTH</t>
  </si>
  <si>
    <t>FONT.SIZE</t>
  </si>
  <si>
    <t>USERFORM1</t>
  </si>
  <si>
    <t>IMAGE1 (solutrans)</t>
  </si>
  <si>
    <t>LABEL (Sistema de Cadastro)</t>
  </si>
  <si>
    <t>LABEL (MENU)</t>
  </si>
  <si>
    <t>CMDBT (NOVO)</t>
  </si>
  <si>
    <t>MULTIPAGINA</t>
  </si>
  <si>
    <t>FR DADOS PESSOAIS</t>
  </si>
  <si>
    <t>FR DADOS PROFISSIONAIS</t>
  </si>
  <si>
    <t>FR 3</t>
  </si>
  <si>
    <t>FR 4</t>
  </si>
  <si>
    <t>LABEL NOME</t>
  </si>
  <si>
    <t>TEXTBOX  NOME</t>
  </si>
  <si>
    <t>LABEL CPF</t>
  </si>
  <si>
    <t>TEXTBOOX CPF</t>
  </si>
  <si>
    <t>LABEL RG</t>
  </si>
  <si>
    <t>FORO</t>
  </si>
  <si>
    <t>LOGRADOURO</t>
  </si>
  <si>
    <t>RENAVAM</t>
  </si>
  <si>
    <t>RENAVAM 3</t>
  </si>
  <si>
    <t>DADOS S.N.T.</t>
  </si>
  <si>
    <t>RENAVAM 2</t>
  </si>
  <si>
    <t>SP</t>
  </si>
  <si>
    <t>LOGIN DETRAN</t>
  </si>
  <si>
    <t>LOGIN GOV</t>
  </si>
  <si>
    <t>LOGIN POUPATEMPO</t>
  </si>
  <si>
    <t>SENHA POUPATEMPO</t>
  </si>
  <si>
    <t>UF RG</t>
  </si>
  <si>
    <t>RJ</t>
  </si>
  <si>
    <t>MG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</si>
  <si>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</si>
  <si>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</si>
  <si>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</si>
  <si>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</si>
  <si>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</si>
  <si>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</si>
  <si>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</si>
  <si>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</si>
  <si>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</si>
  <si>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</si>
  <si>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</si>
  <si>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PA</t>
  </si>
  <si>
    <t>PB</t>
  </si>
  <si>
    <t>PR</t>
  </si>
  <si>
    <t>PE</t>
  </si>
  <si>
    <t>PI</t>
  </si>
  <si>
    <t>RN</t>
  </si>
  <si>
    <t>RS</t>
  </si>
  <si>
    <t>RO</t>
  </si>
  <si>
    <t>RR</t>
  </si>
  <si>
    <t>SC</t>
  </si>
  <si>
    <t>SE</t>
  </si>
  <si>
    <t>TO</t>
  </si>
  <si>
    <t>São Paulo</t>
  </si>
  <si>
    <t>Rio de Janeiro</t>
  </si>
  <si>
    <t>Minas Gerais</t>
  </si>
  <si>
    <t>Acre</t>
  </si>
  <si>
    <t>Alagoas</t>
  </si>
  <si>
    <t>Amapá</t>
  </si>
  <si>
    <t>Amazonas</t>
  </si>
  <si>
    <t>Bahia</t>
  </si>
  <si>
    <t>Ceará</t>
  </si>
  <si>
    <t>Distrito Federal</t>
  </si>
  <si>
    <t>Espírito Santo</t>
  </si>
  <si>
    <t>Goiás</t>
  </si>
  <si>
    <t>Maranhão</t>
  </si>
  <si>
    <t>Mato Grosso</t>
  </si>
  <si>
    <t>Mato Grosso do Sul</t>
  </si>
  <si>
    <t>Pará</t>
  </si>
  <si>
    <t>Paraíba</t>
  </si>
  <si>
    <t>Paraná</t>
  </si>
  <si>
    <t>Pernambuco</t>
  </si>
  <si>
    <t>Piauí</t>
  </si>
  <si>
    <t>Rio Grande do Norte</t>
  </si>
  <si>
    <t>Rio Grande do Sul</t>
  </si>
  <si>
    <t>Rondônia</t>
  </si>
  <si>
    <t>Roraima</t>
  </si>
  <si>
    <t>Santa Catarina</t>
  </si>
  <si>
    <t>Sergipe</t>
  </si>
  <si>
    <t>Tocantins</t>
  </si>
  <si>
    <t>ET</t>
  </si>
  <si>
    <t>Estrangeiro</t>
  </si>
  <si>
    <t>ESTADOS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</si>
</sst>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7" fillId="0" borderId="0" xfId="0" applyFont="1"/>
    <xf numFmtId="0" fontId="5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5">
    <dxf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76200</xdr:rowOff>
        </xdr:from>
        <xdr:to>
          <xdr:col>1</xdr:col>
          <xdr:colOff>904875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6850FF-6291-4C30-BFEA-4CEB2E13A73D}" name="Clientes" displayName="Clientes" ref="A3:BB4" insertRow="1" totalsRowShown="0" headerRowDxfId="4">
  <autoFilter ref="A3:BB4" xr:uid="{BC6850FF-6291-4C30-BFEA-4CEB2E13A73D}"/>
  <tableColumns count="54">
    <tableColumn id="2" xr3:uid="{571F06F6-1B1C-4DF3-8122-C4A86F4F3ECA}" name="ID"/>
    <tableColumn id="5" xr3:uid="{6613339A-FBCB-4F3D-8401-634FA87B074F}" name="NOME"/>
    <tableColumn id="26" xr3:uid="{AE4E45B5-4B35-454C-89AC-9515DBC2E1C3}" name="NACIONALIDADE"/>
    <tableColumn id="6" xr3:uid="{530F322C-E2BF-4050-8E56-7B5BC885A121}" name="CPF"/>
    <tableColumn id="7" xr3:uid="{5EF16E1E-F615-4FD3-8A6B-20334ADD5721}" name="RG"/>
    <tableColumn id="8" xr3:uid="{8E18EC38-E3F5-445F-8725-17AE61588AE3}" name="LOGRADOURO"/>
    <tableColumn id="9" xr3:uid="{E4EE40DD-45CB-43A7-8602-6A35B538D911}" name="BAIRRO"/>
    <tableColumn id="1" xr3:uid="{2D516A27-65C8-4CF3-AB3B-9DE471AB2FAD}" name="NÚMERO"/>
    <tableColumn id="10" xr3:uid="{48524B5F-FA48-4C1D-A3A2-6144DD242B81}" name="CIDADE"/>
    <tableColumn id="11" xr3:uid="{B5E1E4C0-50DC-4276-9E12-5938066D7839}" name="ESTADO"/>
    <tableColumn id="12" xr3:uid="{706C12E0-DABE-4683-B586-C6233FBE2242}" name="CEP"/>
    <tableColumn id="13" xr3:uid="{A4B155C1-CEF7-4BB5-B6D9-265A31CDD5DA}" name="COMP."/>
    <tableColumn id="14" xr3:uid="{B5C7E1CA-AEEE-4DA4-A3EC-1A01552314DA}" name="DATA NASCIMENTO"/>
    <tableColumn id="15" xr3:uid="{8C1ED1D9-84CC-4467-A1F6-D7A11C12EEE3}" name="ESTADO CIVIL"/>
    <tableColumn id="16" xr3:uid="{C2E36DDB-5826-463A-8CDC-19E9B3DEDD21}" name="PROFISSÃO"/>
    <tableColumn id="17" xr3:uid="{44C04BBB-2F04-4318-A166-C430E8D1AB9E}" name="TELEFONE 1"/>
    <tableColumn id="18" xr3:uid="{E8DE59E8-B1A5-4359-A416-9BEFE017A309}" name="TELEFONE 2"/>
    <tableColumn id="27" xr3:uid="{BBE3AE12-5542-45E5-9CD9-797A1F31AB50}" name="TELEFONE RECADO"/>
    <tableColumn id="19" xr3:uid="{FED40169-4A83-4E52-AF0F-854BC3186561}" name="E-MAIL"/>
    <tableColumn id="28" xr3:uid="{41A1DE5F-15AB-439E-BC3C-A72ADD7C84EE}" name="TIPO SERVIÇO"/>
    <tableColumn id="29" xr3:uid="{755E56D7-7441-4DFE-89B4-E9A87C86AE55}" name="VALOR"/>
    <tableColumn id="3" xr3:uid="{76C684B8-9F5A-406E-9407-DE47F0EE1BD2}" name="FORMA PAGAMENTO"/>
    <tableColumn id="30" xr3:uid="{7D88CE84-08BA-4EC9-8C36-3B83D3A1E8C9}" name="CONDIÇÕES PARCELAMENTO"/>
    <tableColumn id="20" xr3:uid="{52B74BCB-D330-49B7-B8FF-020E27C5CAD8}" name="REGISTRO CNH"/>
    <tableColumn id="32" xr3:uid="{00B3104A-B44C-4536-A9BB-83E20CE1C357}" name="CATEGORIA"/>
    <tableColumn id="31" xr3:uid="{F630493A-39A5-493E-9687-3AC9A5AE9138}" name="VENCIMENTO CNH"/>
    <tableColumn id="33" xr3:uid="{13D5424E-DAF4-4C8C-9346-A3DE86132534}" name="ESPELHO"/>
    <tableColumn id="34" xr3:uid="{5FC29897-BAD9-419D-9B3D-97414F8746F7}" name="RENACH"/>
    <tableColumn id="35" xr3:uid="{85203B8E-37E2-4473-8D58-A278660D0626}" name="CÓD SEGURANÇA"/>
    <tableColumn id="21" xr3:uid="{80723770-7454-400C-8895-FBCD43A34DA3}" name="RENAVAM"/>
    <tableColumn id="22" xr3:uid="{D273DDA0-637A-4EC0-9EC5-E234C517503A}" name="PLACA"/>
    <tableColumn id="54" xr3:uid="{147B589E-E0F7-4C2A-A519-5973E975A920}" name="RENAVAM 2"/>
    <tableColumn id="53" xr3:uid="{8EFA16E1-D8CC-4122-8716-B5397A0D55EC}" name="PLACA 2"/>
    <tableColumn id="60" xr3:uid="{BD147CF7-9826-45C2-8426-CC59CA1F89C8}" name="RENAVAM 3"/>
    <tableColumn id="59" xr3:uid="{1FFE573A-268E-4637-BEDE-E009D8670499}" name="PLACA 3"/>
    <tableColumn id="4" xr3:uid="{912AAD0F-6E5A-4BDA-A724-012DCC2060D7}" name="LOGIN DETRAN" dataDxfId="3"/>
    <tableColumn id="37" xr3:uid="{A8755CCA-E4F7-41A5-BC7A-F109306D56AD}" name="SENHA DETRAN"/>
    <tableColumn id="23" xr3:uid="{8C562E67-C975-49A5-9E6C-7FFE7DF36888}" name="LOGIN GOV" dataDxfId="2"/>
    <tableColumn id="36" xr3:uid="{BE91899B-818C-4396-B19F-D48B9DC0CBB9}" name="SENHA GOV"/>
    <tableColumn id="25" xr3:uid="{857F4615-C433-4A8F-BB6B-C4EDC7D62B7E}" name="LOGIN POUPATEMPO" dataDxfId="1"/>
    <tableColumn id="24" xr3:uid="{2E03D9BD-3CAF-4205-9F5C-504DCAA5DC48}" name="SENHA POUPATEMPO" dataDxfId="0"/>
    <tableColumn id="48" xr3:uid="{67106C0D-592B-456C-A235-478B1BD2ED37}" name="PA CASSAÇÃO 1"/>
    <tableColumn id="47" xr3:uid="{7D043E6A-6CBD-437D-AACB-8E0B39BDC2FB}" name="PA CASSAÇÃO 2"/>
    <tableColumn id="46" xr3:uid="{0DF6DFD8-32A3-42F9-ABDA-ECCB69BB6A66}" name="PA CASSAÇÃO 3"/>
    <tableColumn id="49" xr3:uid="{D92D40D0-5D85-4AD0-8170-4223FCF61008}" name="PA SUSPENSÃO 1"/>
    <tableColumn id="52" xr3:uid="{04A8BBD5-0C38-4D1C-9963-90F71F6F0DA2}" name="PA SUSPENSÃO 2"/>
    <tableColumn id="51" xr3:uid="{39F63EE4-A406-4453-8F72-B8A2CD01F17F}" name="PA SUSPENSÃO 3"/>
    <tableColumn id="38" xr3:uid="{23773549-4294-4317-93F0-1A6986F5F520}" name="RAMO DIREITO 2"/>
    <tableColumn id="39" xr3:uid="{F08E5B43-28BA-4344-8D7C-C4C35A4D65D2}" name="PESSOA RESPONSÁVEL"/>
    <tableColumn id="40" xr3:uid="{46E14FC8-40CD-4DB0-A099-BD2DE0AA184B}" name="NÚMERO PROCESSO"/>
    <tableColumn id="41" xr3:uid="{4CEEA220-6F5B-4D38-9404-F9DDC6489B4E}" name="FORO"/>
    <tableColumn id="42" xr3:uid="{3E0AB0DE-B65D-4451-9B3C-12187575A4FB}" name="VARA"/>
    <tableColumn id="43" xr3:uid="{B29908A8-C5A3-42E0-9E22-496E00010ADF}" name="DATA DISTRIBUIÇÃO"/>
    <tableColumn id="44" xr3:uid="{94284FA7-8877-40DB-82A0-FEFB82CE90B4}" name="ADVOGADO RESPONSÁ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Planilha1"/>
  <dimension ref="A1:BB10"/>
  <sheetViews>
    <sheetView tabSelected="1" zoomScaleNormal="100" workbookViewId="0">
      <selection activeCell="A5" sqref="A4:XFD5"/>
    </sheetView>
  </sheetViews>
  <sheetFormatPr defaultRowHeight="15" x14ac:dyDescent="0.25"/>
  <cols>
    <col min="1" max="1" width="16.7109375" customWidth="1"/>
    <col min="2" max="2" width="32.140625" customWidth="1"/>
    <col min="3" max="23" width="21.140625" customWidth="1"/>
    <col min="24" max="29" width="16.140625" customWidth="1"/>
    <col min="30" max="30" width="19.28515625" customWidth="1"/>
    <col min="31" max="31" width="17.28515625" customWidth="1"/>
    <col min="32" max="32" width="16.42578125" customWidth="1"/>
    <col min="33" max="33" width="13.7109375" customWidth="1"/>
    <col min="34" max="34" width="17.42578125" customWidth="1"/>
    <col min="35" max="36" width="14.5703125" customWidth="1"/>
    <col min="37" max="38" width="16.85546875" customWidth="1"/>
    <col min="39" max="41" width="20.42578125" customWidth="1"/>
    <col min="42" max="46" width="20" customWidth="1"/>
    <col min="47" max="47" width="20.42578125" customWidth="1"/>
    <col min="48" max="48" width="13.7109375" customWidth="1"/>
    <col min="54" max="54" width="14.7109375" customWidth="1"/>
    <col min="71" max="71" width="11.42578125" customWidth="1"/>
  </cols>
  <sheetData>
    <row r="1" spans="1:54" ht="42" customHeight="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4" ht="15.75" x14ac:dyDescent="0.25">
      <c r="A2" s="13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9" t="s">
        <v>90</v>
      </c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1" t="s">
        <v>2</v>
      </c>
      <c r="AW2" s="11"/>
      <c r="AX2" s="11"/>
      <c r="AY2" s="11"/>
      <c r="AZ2" s="11"/>
      <c r="BA2" s="11"/>
      <c r="BB2" s="11"/>
    </row>
    <row r="3" spans="1:54" x14ac:dyDescent="0.25">
      <c r="A3" s="4" t="s">
        <v>3</v>
      </c>
      <c r="B3" s="4" t="s">
        <v>4</v>
      </c>
      <c r="C3" s="4" t="s">
        <v>5</v>
      </c>
      <c r="D3" s="4" t="s">
        <v>6</v>
      </c>
      <c r="E3" s="4" t="s">
        <v>7</v>
      </c>
      <c r="F3" s="4" t="s">
        <v>87</v>
      </c>
      <c r="G3" s="4" t="s">
        <v>8</v>
      </c>
      <c r="H3" s="4" t="s">
        <v>9</v>
      </c>
      <c r="I3" s="4" t="s">
        <v>10</v>
      </c>
      <c r="J3" s="4" t="s">
        <v>11</v>
      </c>
      <c r="K3" s="4" t="s">
        <v>12</v>
      </c>
      <c r="L3" s="4" t="s">
        <v>13</v>
      </c>
      <c r="M3" s="4" t="s">
        <v>14</v>
      </c>
      <c r="N3" s="4" t="s">
        <v>15</v>
      </c>
      <c r="O3" s="4" t="s">
        <v>16</v>
      </c>
      <c r="P3" s="4" t="s">
        <v>17</v>
      </c>
      <c r="Q3" s="4" t="s">
        <v>18</v>
      </c>
      <c r="R3" s="4" t="s">
        <v>19</v>
      </c>
      <c r="S3" s="4" t="s">
        <v>20</v>
      </c>
      <c r="T3" s="4" t="s">
        <v>21</v>
      </c>
      <c r="U3" s="4" t="s">
        <v>22</v>
      </c>
      <c r="V3" s="4" t="s">
        <v>23</v>
      </c>
      <c r="W3" s="4" t="s">
        <v>24</v>
      </c>
      <c r="X3" s="6" t="s">
        <v>25</v>
      </c>
      <c r="Y3" s="6" t="s">
        <v>26</v>
      </c>
      <c r="Z3" s="6" t="s">
        <v>27</v>
      </c>
      <c r="AA3" s="6" t="s">
        <v>28</v>
      </c>
      <c r="AB3" s="6" t="s">
        <v>29</v>
      </c>
      <c r="AC3" s="6" t="s">
        <v>30</v>
      </c>
      <c r="AD3" s="6" t="s">
        <v>88</v>
      </c>
      <c r="AE3" s="6" t="s">
        <v>31</v>
      </c>
      <c r="AF3" s="6" t="s">
        <v>91</v>
      </c>
      <c r="AG3" s="6" t="s">
        <v>32</v>
      </c>
      <c r="AH3" s="6" t="s">
        <v>89</v>
      </c>
      <c r="AI3" s="6" t="s">
        <v>33</v>
      </c>
      <c r="AJ3" s="6" t="s">
        <v>93</v>
      </c>
      <c r="AK3" s="6" t="s">
        <v>34</v>
      </c>
      <c r="AL3" s="6" t="s">
        <v>94</v>
      </c>
      <c r="AM3" s="6" t="s">
        <v>35</v>
      </c>
      <c r="AN3" s="6" t="s">
        <v>95</v>
      </c>
      <c r="AO3" s="6" t="s">
        <v>96</v>
      </c>
      <c r="AP3" s="6" t="s">
        <v>36</v>
      </c>
      <c r="AQ3" s="6" t="s">
        <v>37</v>
      </c>
      <c r="AR3" s="6" t="s">
        <v>38</v>
      </c>
      <c r="AS3" s="6" t="s">
        <v>39</v>
      </c>
      <c r="AT3" s="6" t="s">
        <v>40</v>
      </c>
      <c r="AU3" s="6" t="s">
        <v>41</v>
      </c>
      <c r="AV3" s="7" t="s">
        <v>42</v>
      </c>
      <c r="AW3" s="7" t="s">
        <v>43</v>
      </c>
      <c r="AX3" s="7" t="s">
        <v>44</v>
      </c>
      <c r="AY3" s="7" t="s">
        <v>86</v>
      </c>
      <c r="AZ3" s="7" t="s">
        <v>45</v>
      </c>
      <c r="BA3" s="7" t="s">
        <v>46</v>
      </c>
      <c r="BB3" s="7" t="s">
        <v>47</v>
      </c>
    </row>
    <row r="4" spans="1:54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7"/>
      <c r="AW4" s="7"/>
      <c r="AX4" s="7"/>
      <c r="AY4" s="7"/>
      <c r="AZ4" s="7"/>
      <c r="BA4" s="7"/>
      <c r="BB4" s="7"/>
    </row>
    <row r="10" spans="1:54" x14ac:dyDescent="0.25">
      <c r="B10" s="8"/>
    </row>
  </sheetData>
  <mergeCells count="4">
    <mergeCell ref="X2:AU2"/>
    <mergeCell ref="AV2:BB2"/>
    <mergeCell ref="A1:BB1"/>
    <mergeCell ref="A2:W2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114300</xdr:colOff>
                <xdr:row>0</xdr:row>
                <xdr:rowOff>76200</xdr:rowOff>
              </from>
              <to>
                <xdr:col>1</xdr:col>
                <xdr:colOff>904875</xdr:colOff>
                <xdr:row>0</xdr:row>
                <xdr:rowOff>485775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B788-4B72-4F08-9D36-42D7B02A4384}">
  <sheetPr codeName="Planilha4"/>
  <dimension ref="A1:H29"/>
  <sheetViews>
    <sheetView workbookViewId="0">
      <selection activeCell="G29" sqref="G29"/>
    </sheetView>
  </sheetViews>
  <sheetFormatPr defaultRowHeight="15" x14ac:dyDescent="0.25"/>
  <cols>
    <col min="1" max="1" width="15.42578125" customWidth="1"/>
    <col min="2" max="2" width="4.85546875" customWidth="1"/>
    <col min="3" max="3" width="17.28515625" customWidth="1"/>
    <col min="5" max="5" width="21.28515625" customWidth="1"/>
    <col min="6" max="6" width="9.140625" customWidth="1"/>
  </cols>
  <sheetData>
    <row r="1" spans="1:8" x14ac:dyDescent="0.25">
      <c r="A1" s="5" t="s">
        <v>15</v>
      </c>
      <c r="C1" s="5" t="s">
        <v>48</v>
      </c>
      <c r="E1" s="5" t="s">
        <v>23</v>
      </c>
      <c r="G1" s="5" t="s">
        <v>97</v>
      </c>
      <c r="H1" s="5" t="s">
        <v>152</v>
      </c>
    </row>
    <row r="2" spans="1:8" x14ac:dyDescent="0.25">
      <c r="A2" s="3" t="s">
        <v>49</v>
      </c>
      <c r="C2" s="3" t="s">
        <v>50</v>
      </c>
      <c r="E2" s="3" t="s">
        <v>51</v>
      </c>
      <c r="G2" s="3" t="s">
        <v>92</v>
      </c>
      <c r="H2" s="3" t="s">
        <v>123</v>
      </c>
    </row>
    <row r="3" spans="1:8" x14ac:dyDescent="0.25">
      <c r="A3" s="3" t="s">
        <v>52</v>
      </c>
      <c r="C3" s="3" t="s">
        <v>53</v>
      </c>
      <c r="E3" s="3" t="s">
        <v>54</v>
      </c>
      <c r="G3" s="3" t="s">
        <v>98</v>
      </c>
      <c r="H3" s="3" t="s">
        <v>124</v>
      </c>
    </row>
    <row r="4" spans="1:8" x14ac:dyDescent="0.25">
      <c r="A4" s="3" t="s">
        <v>55</v>
      </c>
      <c r="C4" s="3" t="s">
        <v>56</v>
      </c>
      <c r="G4" s="3" t="s">
        <v>99</v>
      </c>
      <c r="H4" s="3" t="s">
        <v>125</v>
      </c>
    </row>
    <row r="5" spans="1:8" x14ac:dyDescent="0.25">
      <c r="A5" s="3" t="s">
        <v>57</v>
      </c>
      <c r="C5" s="3" t="s">
        <v>58</v>
      </c>
      <c r="G5" s="3" t="s">
        <v>61</v>
      </c>
      <c r="H5" s="3" t="s">
        <v>126</v>
      </c>
    </row>
    <row r="6" spans="1:8" x14ac:dyDescent="0.25">
      <c r="C6" s="3" t="s">
        <v>59</v>
      </c>
      <c r="G6" s="3" t="s">
        <v>100</v>
      </c>
      <c r="H6" s="3" t="s">
        <v>127</v>
      </c>
    </row>
    <row r="7" spans="1:8" x14ac:dyDescent="0.25">
      <c r="C7" s="3" t="s">
        <v>60</v>
      </c>
      <c r="G7" s="3" t="s">
        <v>101</v>
      </c>
      <c r="H7" s="3" t="s">
        <v>128</v>
      </c>
    </row>
    <row r="8" spans="1:8" x14ac:dyDescent="0.25">
      <c r="C8" s="3" t="s">
        <v>61</v>
      </c>
      <c r="G8" s="3" t="s">
        <v>102</v>
      </c>
      <c r="H8" s="3" t="s">
        <v>129</v>
      </c>
    </row>
    <row r="9" spans="1:8" x14ac:dyDescent="0.25">
      <c r="C9" s="3" t="s">
        <v>62</v>
      </c>
      <c r="G9" s="3" t="s">
        <v>103</v>
      </c>
      <c r="H9" s="3" t="s">
        <v>130</v>
      </c>
    </row>
    <row r="10" spans="1:8" x14ac:dyDescent="0.25">
      <c r="C10" s="3" t="s">
        <v>63</v>
      </c>
      <c r="G10" s="3" t="s">
        <v>104</v>
      </c>
      <c r="H10" s="3" t="s">
        <v>131</v>
      </c>
    </row>
    <row r="11" spans="1:8" x14ac:dyDescent="0.25">
      <c r="G11" s="3" t="s">
        <v>105</v>
      </c>
      <c r="H11" s="3" t="s">
        <v>132</v>
      </c>
    </row>
    <row r="12" spans="1:8" x14ac:dyDescent="0.25">
      <c r="G12" s="3" t="s">
        <v>106</v>
      </c>
      <c r="H12" s="3" t="s">
        <v>133</v>
      </c>
    </row>
    <row r="13" spans="1:8" x14ac:dyDescent="0.25">
      <c r="G13" s="3" t="s">
        <v>107</v>
      </c>
      <c r="H13" s="3" t="s">
        <v>134</v>
      </c>
    </row>
    <row r="14" spans="1:8" x14ac:dyDescent="0.25">
      <c r="G14" s="3" t="s">
        <v>108</v>
      </c>
      <c r="H14" s="3" t="s">
        <v>135</v>
      </c>
    </row>
    <row r="15" spans="1:8" x14ac:dyDescent="0.25">
      <c r="G15" s="3" t="s">
        <v>109</v>
      </c>
      <c r="H15" s="3" t="s">
        <v>136</v>
      </c>
    </row>
    <row r="16" spans="1:8" x14ac:dyDescent="0.25">
      <c r="G16" s="3" t="s">
        <v>110</v>
      </c>
      <c r="H16" s="3" t="s">
        <v>137</v>
      </c>
    </row>
    <row r="17" spans="7:8" x14ac:dyDescent="0.25">
      <c r="G17" s="3" t="s">
        <v>111</v>
      </c>
      <c r="H17" s="3" t="s">
        <v>138</v>
      </c>
    </row>
    <row r="18" spans="7:8" x14ac:dyDescent="0.25">
      <c r="G18" s="3" t="s">
        <v>112</v>
      </c>
      <c r="H18" s="3" t="s">
        <v>139</v>
      </c>
    </row>
    <row r="19" spans="7:8" x14ac:dyDescent="0.25">
      <c r="G19" s="3" t="s">
        <v>113</v>
      </c>
      <c r="H19" s="3" t="s">
        <v>140</v>
      </c>
    </row>
    <row r="20" spans="7:8" x14ac:dyDescent="0.25">
      <c r="G20" s="3" t="s">
        <v>114</v>
      </c>
      <c r="H20" s="3" t="s">
        <v>141</v>
      </c>
    </row>
    <row r="21" spans="7:8" x14ac:dyDescent="0.25">
      <c r="G21" s="3" t="s">
        <v>115</v>
      </c>
      <c r="H21" s="3" t="s">
        <v>142</v>
      </c>
    </row>
    <row r="22" spans="7:8" x14ac:dyDescent="0.25">
      <c r="G22" s="3" t="s">
        <v>116</v>
      </c>
      <c r="H22" s="3" t="s">
        <v>143</v>
      </c>
    </row>
    <row r="23" spans="7:8" x14ac:dyDescent="0.25">
      <c r="G23" s="3" t="s">
        <v>117</v>
      </c>
      <c r="H23" s="3" t="s">
        <v>144</v>
      </c>
    </row>
    <row r="24" spans="7:8" x14ac:dyDescent="0.25">
      <c r="G24" s="3" t="s">
        <v>118</v>
      </c>
      <c r="H24" s="3" t="s">
        <v>145</v>
      </c>
    </row>
    <row r="25" spans="7:8" x14ac:dyDescent="0.25">
      <c r="G25" s="3" t="s">
        <v>119</v>
      </c>
      <c r="H25" s="3" t="s">
        <v>146</v>
      </c>
    </row>
    <row r="26" spans="7:8" x14ac:dyDescent="0.25">
      <c r="G26" s="3" t="s">
        <v>120</v>
      </c>
      <c r="H26" s="3" t="s">
        <v>147</v>
      </c>
    </row>
    <row r="27" spans="7:8" x14ac:dyDescent="0.25">
      <c r="G27" s="3" t="s">
        <v>121</v>
      </c>
      <c r="H27" s="3" t="s">
        <v>148</v>
      </c>
    </row>
    <row r="28" spans="7:8" x14ac:dyDescent="0.25">
      <c r="G28" s="3" t="s">
        <v>122</v>
      </c>
      <c r="H28" s="3" t="s">
        <v>149</v>
      </c>
    </row>
    <row r="29" spans="7:8" x14ac:dyDescent="0.25">
      <c r="G29" s="3" t="s">
        <v>150</v>
      </c>
      <c r="H29" t="s">
        <v>151</v>
      </c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26303-3CFF-4442-875D-C497DADD0D33}">
  <sheetPr codeName="Planilha3"/>
  <dimension ref="A1:A2"/>
  <sheetViews>
    <sheetView workbookViewId="0">
      <selection activeCell="A2" sqref="A2"/>
    </sheetView>
  </sheetViews>
  <sheetFormatPr defaultRowHeight="15" x14ac:dyDescent="0.25"/>
  <sheetData>
    <row r="1" spans="1:1" ht="60" x14ac:dyDescent="0.25">
      <c r="A1" s="2" t="s">
        <v>64</v>
      </c>
    </row>
    <row r="2" spans="1:1" x14ac:dyDescent="0.25">
      <c r="A2" s="3">
        <f>MAX(Clientes[[#All],[ID]])+1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05B7-981A-4367-90DC-80929062F7AE}">
  <sheetPr codeName="Planilha2"/>
  <dimension ref="A1:F16"/>
  <sheetViews>
    <sheetView workbookViewId="0">
      <selection activeCell="I12" sqref="I12"/>
    </sheetView>
  </sheetViews>
  <sheetFormatPr defaultRowHeight="15" x14ac:dyDescent="0.25"/>
  <cols>
    <col min="1" max="1" width="26.42578125" bestFit="1" customWidth="1"/>
    <col min="6" max="6" width="12.28515625" customWidth="1"/>
  </cols>
  <sheetData>
    <row r="1" spans="1:6" x14ac:dyDescent="0.25">
      <c r="A1" t="s">
        <v>65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70</v>
      </c>
    </row>
    <row r="2" spans="1:6" x14ac:dyDescent="0.25">
      <c r="A2" t="s">
        <v>71</v>
      </c>
      <c r="B2" s="1">
        <v>483</v>
      </c>
      <c r="C2" s="1">
        <v>0</v>
      </c>
      <c r="D2" s="1">
        <v>0</v>
      </c>
      <c r="E2" s="1">
        <v>750</v>
      </c>
    </row>
    <row r="3" spans="1:6" x14ac:dyDescent="0.25">
      <c r="A3" t="s">
        <v>72</v>
      </c>
      <c r="B3">
        <v>42</v>
      </c>
      <c r="C3">
        <v>12</v>
      </c>
      <c r="D3">
        <v>12</v>
      </c>
      <c r="E3">
        <v>204</v>
      </c>
    </row>
    <row r="4" spans="1:6" x14ac:dyDescent="0.25">
      <c r="A4" t="s">
        <v>73</v>
      </c>
      <c r="B4">
        <v>36</v>
      </c>
      <c r="C4">
        <v>222</v>
      </c>
      <c r="D4">
        <v>18</v>
      </c>
      <c r="E4">
        <v>498</v>
      </c>
      <c r="F4">
        <v>28</v>
      </c>
    </row>
    <row r="5" spans="1:6" x14ac:dyDescent="0.25">
      <c r="A5" t="s">
        <v>74</v>
      </c>
      <c r="B5">
        <v>18</v>
      </c>
      <c r="C5">
        <v>6</v>
      </c>
      <c r="D5">
        <v>60</v>
      </c>
      <c r="E5">
        <v>60</v>
      </c>
      <c r="F5">
        <v>12</v>
      </c>
    </row>
    <row r="6" spans="1:6" x14ac:dyDescent="0.25">
      <c r="A6" t="s">
        <v>75</v>
      </c>
      <c r="B6">
        <v>36</v>
      </c>
      <c r="C6">
        <v>12</v>
      </c>
      <c r="D6">
        <v>84</v>
      </c>
      <c r="E6">
        <v>54</v>
      </c>
    </row>
    <row r="7" spans="1:6" x14ac:dyDescent="0.25">
      <c r="A7" t="s">
        <v>76</v>
      </c>
      <c r="B7">
        <v>390</v>
      </c>
      <c r="C7">
        <v>72</v>
      </c>
      <c r="D7">
        <v>60</v>
      </c>
      <c r="E7">
        <v>654</v>
      </c>
    </row>
    <row r="8" spans="1:6" x14ac:dyDescent="0.25">
      <c r="A8" t="s">
        <v>77</v>
      </c>
      <c r="B8">
        <v>114</v>
      </c>
      <c r="C8">
        <v>6</v>
      </c>
      <c r="D8">
        <v>6</v>
      </c>
      <c r="E8">
        <v>642</v>
      </c>
    </row>
    <row r="9" spans="1:6" x14ac:dyDescent="0.25">
      <c r="A9" t="s">
        <v>78</v>
      </c>
      <c r="B9">
        <v>78</v>
      </c>
      <c r="C9">
        <v>6</v>
      </c>
      <c r="D9">
        <v>126</v>
      </c>
      <c r="E9">
        <v>642</v>
      </c>
    </row>
    <row r="10" spans="1:6" x14ac:dyDescent="0.25">
      <c r="A10" t="s">
        <v>79</v>
      </c>
      <c r="B10">
        <v>96</v>
      </c>
      <c r="C10">
        <v>6</v>
      </c>
      <c r="D10">
        <v>210</v>
      </c>
      <c r="E10">
        <v>642</v>
      </c>
    </row>
    <row r="11" spans="1:6" x14ac:dyDescent="0.25">
      <c r="A11" t="s">
        <v>80</v>
      </c>
      <c r="B11">
        <v>54</v>
      </c>
      <c r="C11">
        <v>6</v>
      </c>
      <c r="D11">
        <v>312</v>
      </c>
      <c r="E11">
        <v>642</v>
      </c>
    </row>
    <row r="12" spans="1:6" x14ac:dyDescent="0.25">
      <c r="A12" t="s">
        <v>81</v>
      </c>
      <c r="B12">
        <v>18</v>
      </c>
      <c r="C12">
        <v>6</v>
      </c>
      <c r="D12">
        <v>12</v>
      </c>
      <c r="E12">
        <v>60</v>
      </c>
      <c r="F12">
        <v>12</v>
      </c>
    </row>
    <row r="13" spans="1:6" x14ac:dyDescent="0.25">
      <c r="A13" t="s">
        <v>82</v>
      </c>
      <c r="B13">
        <v>18</v>
      </c>
      <c r="C13">
        <v>72.05</v>
      </c>
      <c r="D13">
        <v>12</v>
      </c>
      <c r="E13">
        <v>216</v>
      </c>
    </row>
    <row r="14" spans="1:6" x14ac:dyDescent="0.25">
      <c r="A14" t="s">
        <v>83</v>
      </c>
      <c r="B14">
        <v>18</v>
      </c>
      <c r="C14">
        <v>294.05</v>
      </c>
      <c r="D14">
        <v>12</v>
      </c>
      <c r="E14">
        <v>60</v>
      </c>
    </row>
    <row r="15" spans="1:6" x14ac:dyDescent="0.25">
      <c r="A15" t="s">
        <v>84</v>
      </c>
      <c r="B15">
        <v>18</v>
      </c>
      <c r="C15">
        <v>360.05</v>
      </c>
      <c r="D15">
        <v>12</v>
      </c>
      <c r="E15">
        <v>102</v>
      </c>
    </row>
    <row r="16" spans="1:6" x14ac:dyDescent="0.25">
      <c r="A16" t="s">
        <v>85</v>
      </c>
      <c r="B16">
        <v>18</v>
      </c>
      <c r="C16">
        <v>468.05</v>
      </c>
      <c r="D16">
        <v>12</v>
      </c>
      <c r="E16">
        <v>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Dados</vt:lpstr>
      <vt:lpstr>Gerar ID</vt:lpstr>
      <vt:lpstr>Dados Formulário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Juliana Maria Ribeiro Ramos</dc:creator>
  <cp:keywords/>
  <dc:description/>
  <cp:lastModifiedBy>Juliana</cp:lastModifiedBy>
  <cp:revision/>
  <dcterms:created xsi:type="dcterms:W3CDTF">2020-04-07T07:02:11Z</dcterms:created>
  <dcterms:modified xsi:type="dcterms:W3CDTF">2023-06-06T21:33:49Z</dcterms:modified>
  <cp:category/>
  <cp:contentStatus/>
</cp:coreProperties>
</file>